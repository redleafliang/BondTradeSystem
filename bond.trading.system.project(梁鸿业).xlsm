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240" yWindow="120" windowWidth="16155" windowHeight="8505" activeTab="2"/>
  </bookViews>
  <sheets>
    <sheet name="Yield.Curve" sheetId="1" r:id="rId1"/>
    <sheet name="Bond.Position" sheetId="4" r:id="rId2"/>
    <sheet name="Position.BPV.Curve" sheetId="3" r:id="rId3"/>
  </sheets>
  <definedNames>
    <definedName name="_xlnm._FilterDatabase" localSheetId="1" hidden="1">Bond.Position!$A$1:$J$25</definedName>
  </definedNames>
  <calcPr calcId="162913"/>
</workbook>
</file>

<file path=xl/sharedStrings.xml><?xml version="1.0" encoding="utf-8"?>
<sst xmlns="http://schemas.openxmlformats.org/spreadsheetml/2006/main" count="222" uniqueCount="102">
  <si>
    <t>3 mo</t>
  </si>
  <si>
    <t>6 mo</t>
  </si>
  <si>
    <t>1 yr</t>
  </si>
  <si>
    <t>2 yr</t>
  </si>
  <si>
    <t>3 yr</t>
  </si>
  <si>
    <t>5 yr</t>
  </si>
  <si>
    <t>7 yr</t>
  </si>
  <si>
    <t>10 yr</t>
  </si>
  <si>
    <t>20 yr</t>
  </si>
  <si>
    <t>30 yr</t>
  </si>
  <si>
    <t>*Treasury Yield Curve Rates</t>
  </si>
  <si>
    <t>Date</t>
    <phoneticPr fontId="1" type="noConversion"/>
  </si>
  <si>
    <t>1 mo</t>
    <phoneticPr fontId="1" type="noConversion"/>
  </si>
  <si>
    <t>Position BPV</t>
  </si>
  <si>
    <t>Modified Duration</t>
  </si>
  <si>
    <t>Dirty Price</t>
  </si>
  <si>
    <t>Accrued</t>
  </si>
  <si>
    <t>Clean Price</t>
  </si>
  <si>
    <t>Position</t>
  </si>
  <si>
    <t>Maturity</t>
  </si>
  <si>
    <t>Coupon</t>
  </si>
  <si>
    <t>Name</t>
  </si>
  <si>
    <t>Date</t>
  </si>
  <si>
    <t>2.8</t>
    <phoneticPr fontId="1" type="noConversion"/>
  </si>
  <si>
    <t>3.15</t>
    <phoneticPr fontId="1" type="noConversion"/>
  </si>
  <si>
    <t>US treasury D</t>
  </si>
  <si>
    <t>3.13</t>
  </si>
  <si>
    <t>5-Apr-13</t>
  </si>
  <si>
    <t>31-Mar-42</t>
  </si>
  <si>
    <t>6000000</t>
  </si>
  <si>
    <t>2-Apr-13</t>
  </si>
  <si>
    <t>0.06</t>
  </si>
  <si>
    <t>3-Apr-13</t>
  </si>
  <si>
    <t>0.08</t>
  </si>
  <si>
    <t>0.14</t>
  </si>
  <si>
    <t>2</t>
  </si>
  <si>
    <t>4-Apr-13</t>
  </si>
  <si>
    <t>0.13</t>
  </si>
  <si>
    <t>0.3</t>
  </si>
  <si>
    <t>0.18</t>
  </si>
  <si>
    <t>0.42</t>
  </si>
  <si>
    <t>0.85</t>
  </si>
  <si>
    <t>1.37</t>
  </si>
  <si>
    <t>1.98</t>
  </si>
  <si>
    <t>2.76</t>
  </si>
  <si>
    <t>3.12</t>
  </si>
  <si>
    <t>8-Apr-13</t>
  </si>
  <si>
    <t>2.82</t>
  </si>
  <si>
    <t>US treasury A</t>
  </si>
  <si>
    <t>0.25</t>
  </si>
  <si>
    <t>31-Mar-14</t>
  </si>
  <si>
    <t>35000</t>
  </si>
  <si>
    <t>US treasury B</t>
  </si>
  <si>
    <t>0.88</t>
  </si>
  <si>
    <t>31-Mar-17</t>
  </si>
  <si>
    <t>2000000</t>
  </si>
  <si>
    <t>US treasury C</t>
  </si>
  <si>
    <t>31-Mar-22</t>
  </si>
  <si>
    <t>5000000</t>
  </si>
  <si>
    <t>2500000</t>
  </si>
  <si>
    <t>3000000</t>
  </si>
  <si>
    <t>1000000</t>
  </si>
  <si>
    <t>6,500000</t>
  </si>
  <si>
    <t>0</t>
  </si>
  <si>
    <t>8000000</t>
  </si>
  <si>
    <t>10000000</t>
  </si>
  <si>
    <t>1-Apr-13</t>
  </si>
  <si>
    <t xml:space="preserve">        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</si>
  <si>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</si>
  <si>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</si>
  <si>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</si>
  <si>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</si>
  <si>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0.07</t>
  </si>
  <si>
    <t>0.43</t>
  </si>
  <si>
    <t>0.89</t>
  </si>
  <si>
    <t>1.44</t>
  </si>
  <si>
    <t>2.03</t>
  </si>
  <si>
    <t>2.8</t>
  </si>
  <si>
    <t>3.15</t>
  </si>
  <si>
    <t>0.12</t>
  </si>
  <si>
    <t>0.17</t>
  </si>
  <si>
    <t>0.28</t>
  </si>
  <si>
    <t>0.41</t>
  </si>
  <si>
    <t>0.84</t>
  </si>
  <si>
    <t>1.38</t>
  </si>
  <si>
    <t>1.99</t>
  </si>
  <si>
    <t>2.77</t>
  </si>
  <si>
    <t>3.11</t>
  </si>
  <si>
    <t>0.31</t>
  </si>
  <si>
    <t>0.87</t>
  </si>
  <si>
    <t>1.4</t>
  </si>
  <si>
    <t>2.78</t>
  </si>
  <si>
    <t>0.4</t>
  </si>
  <si>
    <t>0.83</t>
  </si>
  <si>
    <t>1.35</t>
  </si>
  <si>
    <t>1.96</t>
  </si>
  <si>
    <t>2.73</t>
  </si>
  <si>
    <t>3.08</t>
  </si>
  <si>
    <t>0.32</t>
  </si>
  <si>
    <t>0.44</t>
  </si>
  <si>
    <t>1.41</t>
  </si>
  <si>
    <t>3.18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</si>
</sst>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76" formatCode="0_);[Red]\(0\)"/>
    <numFmt numFmtId="177" formatCode="0_ "/>
    <numFmt numFmtId="178" formatCode="0.00_);[Red]\(0.00\)"/>
    <numFmt numFmtId="179" formatCode="0.0000_ "/>
    <numFmt numFmtId="180" formatCode="0.0000_);[Red]\(0.0000\)"/>
    <numFmt numFmtId="181" formatCode="#,##0.0000"/>
    <numFmt numFmtId="182" formatCode="0.00_ "/>
    <numFmt numFmtId="183" formatCode="#,##0.00_ "/>
    <numFmt numFmtId="184" formatCode="0.0000000_);[Red]\(0.0000000\)"/>
    <numFmt numFmtId="185" formatCode="0.0000000_ "/>
  </numFmts>
  <fonts count="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0"/>
      <name val="Arial"/>
      <family val="2"/>
    </font>
    <font>
      <sz val="11"/>
      <color rgb="FF000000"/>
      <name val="宋体"/>
      <family val="3"/>
      <charset val="134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4" fillId="0" borderId="0"/>
  </cellStyleXfs>
  <cellXfs count="24">
    <xf numFmtId="0" fontId="0" fillId="0" borderId="0" xfId="0">
      <alignment vertical="center"/>
    </xf>
    <xf numFmtId="0" fontId="2" fillId="0" borderId="0" xfId="0" applyFont="1" applyAlignment="1"/>
    <xf numFmtId="0" fontId="0" fillId="0" borderId="0" xfId="0" applyAlignment="1"/>
    <xf numFmtId="15" fontId="0" fillId="0" borderId="0" xfId="0" applyNumberFormat="1" applyAlignment="1"/>
    <xf numFmtId="0" fontId="4" fillId="0" borderId="0" xfId="1"/>
    <xf numFmtId="3" fontId="4" fillId="0" borderId="0" xfId="1" applyNumberFormat="1"/>
    <xf numFmtId="15" fontId="4" fillId="0" borderId="0" xfId="1" applyNumberFormat="1"/>
    <xf numFmtId="0" fontId="2" fillId="0" borderId="0" xfId="1" applyFont="1"/>
    <xf numFmtId="0" fontId="4" fillId="0" borderId="0" xfId="1" applyAlignment="1">
      <alignment vertical="center"/>
    </xf>
    <xf numFmtId="176" fontId="4" fillId="0" borderId="0" xfId="1" applyNumberFormat="1"/>
    <xf numFmtId="177" fontId="4" fillId="0" borderId="0" xfId="1" applyNumberFormat="1"/>
    <xf numFmtId="178" fontId="4" fillId="0" borderId="0" xfId="1" applyNumberFormat="1"/>
    <xf numFmtId="15" fontId="4" fillId="0" borderId="0" xfId="1" applyNumberFormat="1" applyAlignment="1">
      <alignment vertical="center"/>
    </xf>
    <xf numFmtId="179" fontId="4" fillId="0" borderId="0" xfId="1" applyNumberFormat="1"/>
    <xf numFmtId="0" fontId="4" fillId="0" borderId="0" xfId="1" applyNumberFormat="1"/>
    <xf numFmtId="14" fontId="4" fillId="0" borderId="0" xfId="1" applyNumberFormat="1"/>
    <xf numFmtId="180" fontId="4" fillId="0" borderId="0" xfId="1" applyNumberFormat="1"/>
    <xf numFmtId="181" fontId="4" fillId="0" borderId="0" xfId="1" applyNumberFormat="1"/>
    <xf numFmtId="182" fontId="4" fillId="0" borderId="0" xfId="1" applyNumberFormat="1"/>
    <xf numFmtId="182" fontId="0" fillId="0" borderId="0" xfId="0" applyNumberFormat="1" applyAlignment="1"/>
    <xf numFmtId="183" fontId="4" fillId="0" borderId="0" xfId="1" applyNumberFormat="1"/>
    <xf numFmtId="184" fontId="4" fillId="0" borderId="0" xfId="1" applyNumberFormat="1"/>
    <xf numFmtId="179" fontId="2" fillId="0" borderId="0" xfId="1" applyNumberFormat="1" applyFont="1"/>
    <xf numFmtId="185" fontId="4" fillId="0" borderId="0" xfId="1" applyNumberFormat="1"/>
  </cellXfs>
  <cellStyles count="2">
    <cellStyle name="常规" xfId="0" builtinId="0"/>
    <cellStyle name="常规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Position.BPV.Curve!$C$1</c:f>
              <c:strCache>
                <c:ptCount val="1"/>
                <c:pt idx="0">
                  <c:v>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Position.BPV.Curve!$B$2:$B$7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8</c:v>
                </c:pt>
              </c:numCache>
            </c:numRef>
          </c:cat>
          <c:val>
            <c:numRef>
              <c:f>Position.BPV.Curve!$C$2:$C$7</c:f>
              <c:numCache>
                <c:formatCode>General</c:formatCode>
                <c:ptCount val="6"/>
                <c:pt idx="0">
                  <c:v>29914.880248715584</c:v>
                </c:pt>
                <c:pt idx="1">
                  <c:v>348.11870419273947</c:v>
                </c:pt>
                <c:pt idx="2">
                  <c:v>24787.339537120366</c:v>
                </c:pt>
                <c:pt idx="3">
                  <c:v>19779.097225170244</c:v>
                </c:pt>
                <c:pt idx="4">
                  <c:v>9860.2327508905819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F3-4D2E-9E17-4567925BFD2E}"/>
            </c:ext>
          </c:extLst>
        </c:ser>
        <c:ser>
          <c:idx val="1"/>
          <c:order val="1"/>
          <c:tx>
            <c:strRef>
              <c:f>Position.BPV.Curve!$D$1</c:f>
              <c:strCache>
                <c:ptCount val="1"/>
                <c:pt idx="0">
                  <c:v>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Position.BPV.Curve!$B$2:$B$7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8</c:v>
                </c:pt>
              </c:numCache>
            </c:numRef>
          </c:cat>
          <c:val>
            <c:numRef>
              <c:f>Position.BPV.Curve!$D$2:$D$7</c:f>
              <c:numCache>
                <c:formatCode>General</c:formatCode>
                <c:ptCount val="6"/>
                <c:pt idx="0">
                  <c:v>39988.72125821597</c:v>
                </c:pt>
                <c:pt idx="1">
                  <c:v>80002.045594424562</c:v>
                </c:pt>
                <c:pt idx="2">
                  <c:v>79868.25593352034</c:v>
                </c:pt>
                <c:pt idx="3">
                  <c:v>79932.197475985915</c:v>
                </c:pt>
                <c:pt idx="4">
                  <c:v>79798.504301345689</c:v>
                </c:pt>
                <c:pt idx="5">
                  <c:v>79555.995699326115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F3-4D2E-9E17-4567925BFD2E}"/>
            </c:ext>
          </c:extLst>
        </c:ser>
        <c:ser>
          <c:idx val="2"/>
          <c:order val="2"/>
          <c:tx>
            <c:strRef>
              <c:f>Position.BPV.Curve!$E$1</c:f>
              <c:strCache>
                <c:ptCount val="1"/>
                <c:pt idx="0">
                  <c:v>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Position.BPV.Curve!$B$2:$B$7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8</c:v>
                </c:pt>
              </c:numCache>
            </c:numRef>
          </c:cat>
          <c:val>
            <c:numRef>
              <c:f>Position.BPV.Curve!$E$2:$E$7</c:f>
              <c:numCache>
                <c:formatCode>General</c:formatCode>
                <c:ptCount val="6"/>
                <c:pt idx="0">
                  <c:v>430466.50289908639</c:v>
                </c:pt>
                <c:pt idx="1">
                  <c:v>432828.41508989391</c:v>
                </c:pt>
                <c:pt idx="2">
                  <c:v>518246.83260393993</c:v>
                </c:pt>
                <c:pt idx="3">
                  <c:v>520589.24517654744</c:v>
                </c:pt>
                <c:pt idx="4">
                  <c:v>562725.61871934531</c:v>
                </c:pt>
                <c:pt idx="5">
                  <c:v>689330.62229446135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AF3-4D2E-9E17-4567925BFD2E}"/>
            </c:ext>
          </c:extLst>
        </c:ser>
        <c:ser>
          <c:idx val="3"/>
          <c:order val="3"/>
          <c:tx>
            <c:strRef>
              <c:f>Position.BPV.Curve!$F$1</c:f>
              <c:strCache>
                <c:ptCount val="1"/>
                <c:pt idx="0">
                  <c:v>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Position.BPV.Curve!$B$2:$B$7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8</c:v>
                </c:pt>
              </c:numCache>
            </c:numRef>
          </c:cat>
          <c:val>
            <c:numRef>
              <c:f>Position.BPV.Curve!$F$2:$F$7</c:f>
              <c:numCache>
                <c:formatCode>General</c:formatCode>
                <c:ptCount val="6"/>
                <c:pt idx="0">
                  <c:v>205058.12340998213</c:v>
                </c:pt>
                <c:pt idx="1">
                  <c:v>413202.20035341609</c:v>
                </c:pt>
                <c:pt idx="2">
                  <c:v>618204.03916495014</c:v>
                </c:pt>
                <c:pt idx="3">
                  <c:v>1043345.8834698804</c:v>
                </c:pt>
                <c:pt idx="4">
                  <c:v>1242498.6358146353</c:v>
                </c:pt>
                <c:pt idx="5">
                  <c:v>2039388.2025943126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AF3-4D2E-9E17-4567925BFD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0740352"/>
        <c:axId val="820741600"/>
      </c:lineChart>
      <c:catAx>
        <c:axId val="820740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20741600"/>
        <c:crosses val="autoZero"/>
        <c:auto val="1"/>
        <c:lblAlgn val="ctr"/>
        <c:lblOffset val="100"/>
        <c:noMultiLvlLbl val="0"/>
      </c:catAx>
      <c:valAx>
        <c:axId val="820741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2074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85725</xdr:rowOff>
        </xdr:from>
        <xdr:to>
          <xdr:col>14</xdr:col>
          <xdr:colOff>514350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Load Yield Curve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28575</xdr:colOff>
      <xdr:row>0</xdr:row>
      <xdr:rowOff>28575</xdr:rowOff>
    </xdr:from>
    <xdr:ext cx="1133475" cy="352425"/>
    <xdr:sp macro="" textlink="">
      <xdr:nvSpPr>
        <xdr:cNvPr id="2" name="btnInputPostion" hidden="1">
          <a:extLst>
            <a:ext uri="{63B3BB69-23CF-44E3-9099-C40C66FF867C}">
              <a14:compatExt xmlns:a14="http://schemas.microsoft.com/office/drawing/2010/main" spid="_x0000_s204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</xdr:col>
      <xdr:colOff>38100</xdr:colOff>
      <xdr:row>5</xdr:row>
      <xdr:rowOff>28575</xdr:rowOff>
    </xdr:from>
    <xdr:ext cx="1133475" cy="352425"/>
    <xdr:sp macro="" textlink="">
      <xdr:nvSpPr>
        <xdr:cNvPr id="3" name="btnCalPosBPV" hidden="1">
          <a:extLst>
            <a:ext uri="{63B3BB69-23CF-44E3-9099-C40C66FF867C}">
              <a14:compatExt xmlns:a14="http://schemas.microsoft.com/office/drawing/2010/main" spid="_x0000_s205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10</xdr:col>
      <xdr:colOff>28575</xdr:colOff>
      <xdr:row>0</xdr:row>
      <xdr:rowOff>28575</xdr:rowOff>
    </xdr:from>
    <xdr:to>
      <xdr:col>11</xdr:col>
      <xdr:colOff>552450</xdr:colOff>
      <xdr:row>2</xdr:row>
      <xdr:rowOff>57150</xdr:rowOff>
    </xdr:to>
    <xdr:pic macro="[0]!btnInputPostion_Click">
      <xdr:nvPicPr>
        <xdr:cNvPr id="2049" name="btnInputPostion"/>
        <xdr:cNvPicPr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01175" y="28575"/>
          <a:ext cx="1133475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38100</xdr:colOff>
      <xdr:row>5</xdr:row>
      <xdr:rowOff>28575</xdr:rowOff>
    </xdr:from>
    <xdr:to>
      <xdr:col>11</xdr:col>
      <xdr:colOff>561975</xdr:colOff>
      <xdr:row>7</xdr:row>
      <xdr:rowOff>57150</xdr:rowOff>
    </xdr:to>
    <xdr:pic macro="[0]!btnCalPosBPV_Click">
      <xdr:nvPicPr>
        <xdr:cNvPr id="2050" name="btnCalPosBPV"/>
        <xdr:cNvPicPr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10700" y="838200"/>
          <a:ext cx="1133475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19050</xdr:colOff>
      <xdr:row>6</xdr:row>
      <xdr:rowOff>52387</xdr:rowOff>
    </xdr:from>
    <xdr:to>
      <xdr:col>15</xdr:col>
      <xdr:colOff>476250</xdr:colOff>
      <xdr:row>22</xdr:row>
      <xdr:rowOff>52387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26"/>
  <sheetViews>
    <sheetView workbookViewId="0">
      <selection activeCell="P9" sqref="P9"/>
    </sheetView>
  </sheetViews>
  <sheetFormatPr defaultColWidth="8" defaultRowHeight="13.5" x14ac:dyDescent="0.15"/>
  <cols>
    <col min="1" max="1" width="29.5" style="2" customWidth="1"/>
    <col min="2" max="2" width="11.625" style="2" customWidth="1"/>
    <col min="3" max="256" width="8" style="2"/>
    <col min="257" max="257" width="11.25" style="2" customWidth="1"/>
    <col min="258" max="512" width="8" style="2"/>
    <col min="513" max="513" width="11.25" style="2" customWidth="1"/>
    <col min="514" max="768" width="8" style="2"/>
    <col min="769" max="769" width="11.25" style="2" customWidth="1"/>
    <col min="770" max="1024" width="8" style="2"/>
    <col min="1025" max="1025" width="11.25" style="2" customWidth="1"/>
    <col min="1026" max="1280" width="8" style="2"/>
    <col min="1281" max="1281" width="11.25" style="2" customWidth="1"/>
    <col min="1282" max="1536" width="8" style="2"/>
    <col min="1537" max="1537" width="11.25" style="2" customWidth="1"/>
    <col min="1538" max="1792" width="8" style="2"/>
    <col min="1793" max="1793" width="11.25" style="2" customWidth="1"/>
    <col min="1794" max="2048" width="8" style="2"/>
    <col min="2049" max="2049" width="11.25" style="2" customWidth="1"/>
    <col min="2050" max="2304" width="8" style="2"/>
    <col min="2305" max="2305" width="11.25" style="2" customWidth="1"/>
    <col min="2306" max="2560" width="8" style="2"/>
    <col min="2561" max="2561" width="11.25" style="2" customWidth="1"/>
    <col min="2562" max="2816" width="8" style="2"/>
    <col min="2817" max="2817" width="11.25" style="2" customWidth="1"/>
    <col min="2818" max="3072" width="8" style="2"/>
    <col min="3073" max="3073" width="11.25" style="2" customWidth="1"/>
    <col min="3074" max="3328" width="8" style="2"/>
    <col min="3329" max="3329" width="11.25" style="2" customWidth="1"/>
    <col min="3330" max="3584" width="8" style="2"/>
    <col min="3585" max="3585" width="11.25" style="2" customWidth="1"/>
    <col min="3586" max="3840" width="8" style="2"/>
    <col min="3841" max="3841" width="11.25" style="2" customWidth="1"/>
    <col min="3842" max="4096" width="8" style="2"/>
    <col min="4097" max="4097" width="11.25" style="2" customWidth="1"/>
    <col min="4098" max="4352" width="8" style="2"/>
    <col min="4353" max="4353" width="11.25" style="2" customWidth="1"/>
    <col min="4354" max="4608" width="8" style="2"/>
    <col min="4609" max="4609" width="11.25" style="2" customWidth="1"/>
    <col min="4610" max="4864" width="8" style="2"/>
    <col min="4865" max="4865" width="11.25" style="2" customWidth="1"/>
    <col min="4866" max="5120" width="8" style="2"/>
    <col min="5121" max="5121" width="11.25" style="2" customWidth="1"/>
    <col min="5122" max="5376" width="8" style="2"/>
    <col min="5377" max="5377" width="11.25" style="2" customWidth="1"/>
    <col min="5378" max="5632" width="8" style="2"/>
    <col min="5633" max="5633" width="11.25" style="2" customWidth="1"/>
    <col min="5634" max="5888" width="8" style="2"/>
    <col min="5889" max="5889" width="11.25" style="2" customWidth="1"/>
    <col min="5890" max="6144" width="8" style="2"/>
    <col min="6145" max="6145" width="11.25" style="2" customWidth="1"/>
    <col min="6146" max="6400" width="8" style="2"/>
    <col min="6401" max="6401" width="11.25" style="2" customWidth="1"/>
    <col min="6402" max="6656" width="8" style="2"/>
    <col min="6657" max="6657" width="11.25" style="2" customWidth="1"/>
    <col min="6658" max="6912" width="8" style="2"/>
    <col min="6913" max="6913" width="11.25" style="2" customWidth="1"/>
    <col min="6914" max="7168" width="8" style="2"/>
    <col min="7169" max="7169" width="11.25" style="2" customWidth="1"/>
    <col min="7170" max="7424" width="8" style="2"/>
    <col min="7425" max="7425" width="11.25" style="2" customWidth="1"/>
    <col min="7426" max="7680" width="8" style="2"/>
    <col min="7681" max="7681" width="11.25" style="2" customWidth="1"/>
    <col min="7682" max="7936" width="8" style="2"/>
    <col min="7937" max="7937" width="11.25" style="2" customWidth="1"/>
    <col min="7938" max="8192" width="8" style="2"/>
    <col min="8193" max="8193" width="11.25" style="2" customWidth="1"/>
    <col min="8194" max="8448" width="8" style="2"/>
    <col min="8449" max="8449" width="11.25" style="2" customWidth="1"/>
    <col min="8450" max="8704" width="8" style="2"/>
    <col min="8705" max="8705" width="11.25" style="2" customWidth="1"/>
    <col min="8706" max="8960" width="8" style="2"/>
    <col min="8961" max="8961" width="11.25" style="2" customWidth="1"/>
    <col min="8962" max="9216" width="8" style="2"/>
    <col min="9217" max="9217" width="11.25" style="2" customWidth="1"/>
    <col min="9218" max="9472" width="8" style="2"/>
    <col min="9473" max="9473" width="11.25" style="2" customWidth="1"/>
    <col min="9474" max="9728" width="8" style="2"/>
    <col min="9729" max="9729" width="11.25" style="2" customWidth="1"/>
    <col min="9730" max="9984" width="8" style="2"/>
    <col min="9985" max="9985" width="11.25" style="2" customWidth="1"/>
    <col min="9986" max="10240" width="8" style="2"/>
    <col min="10241" max="10241" width="11.25" style="2" customWidth="1"/>
    <col min="10242" max="10496" width="8" style="2"/>
    <col min="10497" max="10497" width="11.25" style="2" customWidth="1"/>
    <col min="10498" max="10752" width="8" style="2"/>
    <col min="10753" max="10753" width="11.25" style="2" customWidth="1"/>
    <col min="10754" max="11008" width="8" style="2"/>
    <col min="11009" max="11009" width="11.25" style="2" customWidth="1"/>
    <col min="11010" max="11264" width="8" style="2"/>
    <col min="11265" max="11265" width="11.25" style="2" customWidth="1"/>
    <col min="11266" max="11520" width="8" style="2"/>
    <col min="11521" max="11521" width="11.25" style="2" customWidth="1"/>
    <col min="11522" max="11776" width="8" style="2"/>
    <col min="11777" max="11777" width="11.25" style="2" customWidth="1"/>
    <col min="11778" max="12032" width="8" style="2"/>
    <col min="12033" max="12033" width="11.25" style="2" customWidth="1"/>
    <col min="12034" max="12288" width="8" style="2"/>
    <col min="12289" max="12289" width="11.25" style="2" customWidth="1"/>
    <col min="12290" max="12544" width="8" style="2"/>
    <col min="12545" max="12545" width="11.25" style="2" customWidth="1"/>
    <col min="12546" max="12800" width="8" style="2"/>
    <col min="12801" max="12801" width="11.25" style="2" customWidth="1"/>
    <col min="12802" max="13056" width="8" style="2"/>
    <col min="13057" max="13057" width="11.25" style="2" customWidth="1"/>
    <col min="13058" max="13312" width="8" style="2"/>
    <col min="13313" max="13313" width="11.25" style="2" customWidth="1"/>
    <col min="13314" max="13568" width="8" style="2"/>
    <col min="13569" max="13569" width="11.25" style="2" customWidth="1"/>
    <col min="13570" max="13824" width="8" style="2"/>
    <col min="13825" max="13825" width="11.25" style="2" customWidth="1"/>
    <col min="13826" max="14080" width="8" style="2"/>
    <col min="14081" max="14081" width="11.25" style="2" customWidth="1"/>
    <col min="14082" max="14336" width="8" style="2"/>
    <col min="14337" max="14337" width="11.25" style="2" customWidth="1"/>
    <col min="14338" max="14592" width="8" style="2"/>
    <col min="14593" max="14593" width="11.25" style="2" customWidth="1"/>
    <col min="14594" max="14848" width="8" style="2"/>
    <col min="14849" max="14849" width="11.25" style="2" customWidth="1"/>
    <col min="14850" max="15104" width="8" style="2"/>
    <col min="15105" max="15105" width="11.25" style="2" customWidth="1"/>
    <col min="15106" max="15360" width="8" style="2"/>
    <col min="15361" max="15361" width="11.25" style="2" customWidth="1"/>
    <col min="15362" max="15616" width="8" style="2"/>
    <col min="15617" max="15617" width="11.25" style="2" customWidth="1"/>
    <col min="15618" max="15872" width="8" style="2"/>
    <col min="15873" max="15873" width="11.25" style="2" customWidth="1"/>
    <col min="15874" max="16128" width="8" style="2"/>
    <col min="16129" max="16129" width="11.25" style="2" customWidth="1"/>
    <col min="16130" max="16384" width="8" style="2"/>
  </cols>
  <sheetData>
    <row r="1" spans="1:12" ht="14.25" x14ac:dyDescent="0.2">
      <c r="A1" s="1" t="s">
        <v>11</v>
      </c>
      <c r="B1" s="1" t="s">
        <v>12</v>
      </c>
      <c r="C1" s="1" t="s">
        <v>0</v>
      </c>
      <c r="D1" s="1" t="s">
        <v>1</v>
      </c>
      <c r="E1" s="1" t="s">
        <v>2</v>
      </c>
      <c r="F1" s="1" t="s">
        <v>3</v>
      </c>
      <c r="G1" s="1" t="s">
        <v>4</v>
      </c>
      <c r="H1" s="1" t="s">
        <v>5</v>
      </c>
      <c r="I1" s="1" t="s">
        <v>6</v>
      </c>
      <c r="J1" s="1" t="s">
        <v>7</v>
      </c>
      <c r="K1" s="1" t="s">
        <v>8</v>
      </c>
      <c r="L1" s="1" t="s">
        <v>9</v>
      </c>
    </row>
    <row r="2" spans="1:12" ht="14.25" x14ac:dyDescent="0.2">
      <c r="A2" s="3" t="s">
        <v>66</v>
      </c>
      <c r="B2" s="1" t="s">
        <v>72</v>
      </c>
      <c r="C2" s="2" t="s">
        <v>33</v>
      </c>
      <c r="D2" s="2" t="s">
        <v>37</v>
      </c>
      <c r="E2" s="2" t="s">
        <v>39</v>
      </c>
      <c r="F2" s="2" t="s">
        <v>38</v>
      </c>
      <c r="G2" s="2" t="s">
        <v>73</v>
      </c>
      <c r="H2" s="2" t="s">
        <v>74</v>
      </c>
      <c r="I2" s="2" t="s">
        <v>75</v>
      </c>
      <c r="J2" s="2" t="s">
        <v>76</v>
      </c>
      <c r="K2" s="2" t="s">
        <v>77</v>
      </c>
      <c r="L2" s="2" t="s">
        <v>78</v>
      </c>
    </row>
    <row r="3" spans="1:12" x14ac:dyDescent="0.15">
      <c r="A3" s="3" t="s">
        <v>30</v>
      </c>
      <c r="B3" s="2" t="s">
        <v>31</v>
      </c>
      <c r="C3" s="2" t="s">
        <v>72</v>
      </c>
      <c r="D3" s="2" t="s">
        <v>79</v>
      </c>
      <c r="E3" s="2" t="s">
        <v>80</v>
      </c>
      <c r="F3" s="2" t="s">
        <v>81</v>
      </c>
      <c r="G3" s="2" t="s">
        <v>82</v>
      </c>
      <c r="H3" s="2" t="s">
        <v>83</v>
      </c>
      <c r="I3" s="2" t="s">
        <v>84</v>
      </c>
      <c r="J3" s="19" t="s">
        <v>85</v>
      </c>
      <c r="K3" s="2" t="s">
        <v>86</v>
      </c>
      <c r="L3" s="2" t="s">
        <v>87</v>
      </c>
    </row>
    <row r="4" spans="1:12" x14ac:dyDescent="0.15">
      <c r="A4" s="3" t="s">
        <v>32</v>
      </c>
      <c r="B4" s="2" t="s">
        <v>72</v>
      </c>
      <c r="C4" s="2" t="s">
        <v>33</v>
      </c>
      <c r="D4" s="2" t="s">
        <v>34</v>
      </c>
      <c r="E4" s="2" t="s">
        <v>80</v>
      </c>
      <c r="F4" s="2" t="s">
        <v>88</v>
      </c>
      <c r="G4" s="2" t="s">
        <v>73</v>
      </c>
      <c r="H4" s="2" t="s">
        <v>89</v>
      </c>
      <c r="I4" s="2" t="s">
        <v>90</v>
      </c>
      <c r="J4" s="2" t="s">
        <v>35</v>
      </c>
      <c r="K4" s="2" t="s">
        <v>91</v>
      </c>
      <c r="L4" s="2" t="s">
        <v>26</v>
      </c>
    </row>
    <row r="5" spans="1:12" x14ac:dyDescent="0.15">
      <c r="A5" s="3" t="s">
        <v>36</v>
      </c>
      <c r="B5" s="2" t="s">
        <v>31</v>
      </c>
      <c r="C5" s="2" t="s">
        <v>33</v>
      </c>
      <c r="D5" s="2" t="s">
        <v>37</v>
      </c>
      <c r="E5" s="2" t="s">
        <v>80</v>
      </c>
      <c r="F5" s="2" t="s">
        <v>38</v>
      </c>
      <c r="G5" s="2" t="s">
        <v>92</v>
      </c>
      <c r="H5" s="2" t="s">
        <v>93</v>
      </c>
      <c r="I5" s="2" t="s">
        <v>94</v>
      </c>
      <c r="J5" s="2" t="s">
        <v>95</v>
      </c>
      <c r="K5" s="2" t="s">
        <v>96</v>
      </c>
      <c r="L5" s="2" t="s">
        <v>97</v>
      </c>
    </row>
    <row r="6" spans="1:12" x14ac:dyDescent="0.15">
      <c r="A6" s="3" t="s">
        <v>27</v>
      </c>
      <c r="B6" s="2" t="s">
        <v>31</v>
      </c>
      <c r="C6" s="2" t="s">
        <v>33</v>
      </c>
      <c r="D6" s="2" t="s">
        <v>34</v>
      </c>
      <c r="E6" s="2" t="s">
        <v>39</v>
      </c>
      <c r="F6" s="2" t="s">
        <v>38</v>
      </c>
      <c r="G6" s="2" t="s">
        <v>40</v>
      </c>
      <c r="H6" s="2" t="s">
        <v>41</v>
      </c>
      <c r="I6" s="2" t="s">
        <v>42</v>
      </c>
      <c r="J6" s="2" t="s">
        <v>43</v>
      </c>
      <c r="K6" s="2" t="s">
        <v>44</v>
      </c>
      <c r="L6" s="2" t="s">
        <v>45</v>
      </c>
    </row>
    <row r="7" spans="1:12" x14ac:dyDescent="0.15">
      <c r="A7" s="3" t="s">
        <v>46</v>
      </c>
      <c r="B7" s="2" t="s">
        <v>72</v>
      </c>
      <c r="C7" s="2" t="s">
        <v>33</v>
      </c>
      <c r="D7" s="2" t="s">
        <v>34</v>
      </c>
      <c r="E7" s="2" t="s">
        <v>39</v>
      </c>
      <c r="F7" s="2" t="s">
        <v>98</v>
      </c>
      <c r="G7" s="2" t="s">
        <v>99</v>
      </c>
      <c r="H7" s="2" t="s">
        <v>74</v>
      </c>
      <c r="I7" s="2" t="s">
        <v>100</v>
      </c>
      <c r="J7" s="2" t="s">
        <v>76</v>
      </c>
      <c r="K7" s="2" t="s">
        <v>47</v>
      </c>
      <c r="L7" s="2" t="s">
        <v>101</v>
      </c>
    </row>
    <row r="8" spans="1:12" x14ac:dyDescent="0.15">
      <c r="A8" s="3"/>
    </row>
    <row r="9" spans="1:12" x14ac:dyDescent="0.15">
      <c r="A9" s="3"/>
    </row>
    <row r="10" spans="1:12" x14ac:dyDescent="0.15">
      <c r="A10" s="3"/>
    </row>
    <row r="11" spans="1:12" x14ac:dyDescent="0.15">
      <c r="A11" s="3"/>
    </row>
    <row r="12" spans="1:12" x14ac:dyDescent="0.15">
      <c r="A12" s="3"/>
    </row>
    <row r="15" spans="1:12" ht="14.25" x14ac:dyDescent="0.2">
      <c r="F15" s="1"/>
      <c r="G15" s="1"/>
      <c r="H15" s="1"/>
      <c r="I15" s="1"/>
      <c r="J15" s="1"/>
    </row>
    <row r="26" spans="1:1" x14ac:dyDescent="0.15">
      <c r="A26" s="2" t="s">
        <v>10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penfile">
                <anchor moveWithCells="1" sizeWithCells="1">
                  <from>
                    <xdr:col>12</xdr:col>
                    <xdr:colOff>0</xdr:colOff>
                    <xdr:row>1</xdr:row>
                    <xdr:rowOff>85725</xdr:rowOff>
                  </from>
                  <to>
                    <xdr:col>14</xdr:col>
                    <xdr:colOff>514350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"/>
  <sheetViews>
    <sheetView workbookViewId="0">
      <selection activeCell="I17" sqref="I17"/>
    </sheetView>
  </sheetViews>
  <sheetFormatPr defaultColWidth="8" defaultRowHeight="12.75" x14ac:dyDescent="0.2"/>
  <cols>
    <col min="1" max="1" width="11.125" style="4" customWidth="1"/>
    <col min="2" max="2" width="11.875" style="4" bestFit="1" customWidth="1"/>
    <col min="3" max="3" width="9" style="4" bestFit="1" customWidth="1"/>
    <col min="4" max="4" width="9.25" style="4" bestFit="1" customWidth="1"/>
    <col min="5" max="5" width="17.375" style="4" customWidth="1"/>
    <col min="6" max="6" width="12.875" style="4" bestFit="1" customWidth="1"/>
    <col min="7" max="7" width="11.25" style="4" bestFit="1" customWidth="1"/>
    <col min="8" max="8" width="11.75" style="4" bestFit="1" customWidth="1"/>
    <col min="9" max="9" width="18.25" style="4" bestFit="1" customWidth="1"/>
    <col min="10" max="10" width="13.125" style="4" bestFit="1" customWidth="1"/>
    <col min="11" max="16384" width="8" style="4"/>
  </cols>
  <sheetData>
    <row r="1" spans="1:12" x14ac:dyDescent="0.2">
      <c r="A1" s="7" t="s">
        <v>22</v>
      </c>
      <c r="B1" s="7" t="s">
        <v>21</v>
      </c>
      <c r="C1" s="7" t="s">
        <v>20</v>
      </c>
      <c r="D1" s="7" t="s">
        <v>19</v>
      </c>
      <c r="E1" s="7" t="s">
        <v>18</v>
      </c>
      <c r="F1" s="7" t="s">
        <v>17</v>
      </c>
      <c r="G1" s="7" t="s">
        <v>16</v>
      </c>
      <c r="H1" s="7" t="s">
        <v>15</v>
      </c>
      <c r="I1" s="7" t="s">
        <v>14</v>
      </c>
      <c r="J1" s="7" t="s">
        <v>13</v>
      </c>
    </row>
    <row r="2" spans="1:12" x14ac:dyDescent="0.2">
      <c r="A2" s="8" t="s">
        <v>66</v>
      </c>
      <c r="B2" s="4" t="s">
        <v>48</v>
      </c>
      <c r="C2" s="4" t="s">
        <v>49</v>
      </c>
      <c r="D2" s="6" t="s">
        <v>50</v>
      </c>
      <c r="E2" s="5" t="s">
        <v>60</v>
      </c>
      <c r="F2" s="4">
        <v>100.11951563130636</v>
      </c>
      <c r="G2" s="13">
        <v>6.8493150684931507E-4</v>
      </c>
      <c r="H2" s="4">
        <v>100.12020056281321</v>
      </c>
      <c r="I2" s="4">
        <v>0.99596551879816519</v>
      </c>
      <c r="J2" s="4">
        <v>29914.880248715584</v>
      </c>
      <c r="K2" s="4" t="s">
        <v>23</v>
      </c>
      <c r="L2" s="4" t="s">
        <v>24</v>
      </c>
    </row>
    <row r="3" spans="1:12" x14ac:dyDescent="0.2">
      <c r="A3" s="8" t="s">
        <v>66</v>
      </c>
      <c r="B3" s="4" t="s">
        <v>52</v>
      </c>
      <c r="C3" s="4" t="s">
        <v>53</v>
      </c>
      <c r="D3" s="6" t="s">
        <v>54</v>
      </c>
      <c r="E3" s="5" t="s">
        <v>61</v>
      </c>
      <c r="F3" s="4">
        <v>101.77960070549557</v>
      </c>
      <c r="G3" s="13">
        <v>2.4109589041095892E-3</v>
      </c>
      <c r="H3" s="4">
        <v>101.78201166439968</v>
      </c>
      <c r="I3" s="4">
        <v>3.9288593931576652</v>
      </c>
      <c r="J3" s="4">
        <v>39988.72125821597</v>
      </c>
    </row>
    <row r="4" spans="1:12" x14ac:dyDescent="0.2">
      <c r="A4" s="8" t="s">
        <v>66</v>
      </c>
      <c r="B4" s="4" t="s">
        <v>56</v>
      </c>
      <c r="C4" s="4" t="s">
        <v>35</v>
      </c>
      <c r="D4" s="6" t="s">
        <v>57</v>
      </c>
      <c r="E4" s="5" t="s">
        <v>58</v>
      </c>
      <c r="F4" s="4">
        <v>104.69410395221944</v>
      </c>
      <c r="G4" s="13">
        <v>5.4794520547945206E-3</v>
      </c>
      <c r="H4" s="4">
        <v>104.69958340427424</v>
      </c>
      <c r="I4" s="4">
        <v>8.2228885522291986</v>
      </c>
      <c r="J4" s="4">
        <v>430466.50289908639</v>
      </c>
    </row>
    <row r="5" spans="1:12" x14ac:dyDescent="0.2">
      <c r="A5" s="12" t="s">
        <v>66</v>
      </c>
      <c r="B5" s="4" t="s">
        <v>25</v>
      </c>
      <c r="C5" s="4" t="s">
        <v>26</v>
      </c>
      <c r="D5" s="6" t="s">
        <v>28</v>
      </c>
      <c r="E5" s="5" t="s">
        <v>61</v>
      </c>
      <c r="F5" s="4">
        <v>106.4939792797657</v>
      </c>
      <c r="G5" s="13">
        <v>8.5753424657534251E-3</v>
      </c>
      <c r="H5" s="4">
        <v>106.50255462223144</v>
      </c>
      <c r="I5" s="4">
        <v>19.253822045614868</v>
      </c>
      <c r="J5" s="4">
        <v>205058.12340998213</v>
      </c>
    </row>
    <row r="6" spans="1:12" x14ac:dyDescent="0.2">
      <c r="A6" s="12" t="s">
        <v>30</v>
      </c>
      <c r="B6" s="4" t="s">
        <v>48</v>
      </c>
      <c r="C6" s="4" t="s">
        <v>49</v>
      </c>
      <c r="D6" s="14" t="s">
        <v>50</v>
      </c>
      <c r="E6" s="5" t="s">
        <v>51</v>
      </c>
      <c r="F6" s="4">
        <v>100.12913231942341</v>
      </c>
      <c r="G6" s="13">
        <v>1.3698630136986301E-3</v>
      </c>
      <c r="H6" s="4">
        <v>100.1305021824371</v>
      </c>
      <c r="I6" s="4">
        <v>0.99332855368078854</v>
      </c>
      <c r="J6" s="4">
        <v>348.11870419273947</v>
      </c>
    </row>
    <row r="7" spans="1:12" x14ac:dyDescent="0.2">
      <c r="A7" s="9" t="s">
        <v>30</v>
      </c>
      <c r="B7" s="9" t="s">
        <v>52</v>
      </c>
      <c r="C7" s="4" t="s">
        <v>53</v>
      </c>
      <c r="D7" s="9" t="s">
        <v>54</v>
      </c>
      <c r="E7" s="5" t="s">
        <v>55</v>
      </c>
      <c r="F7" s="4">
        <v>101.85834869860304</v>
      </c>
      <c r="G7" s="13">
        <v>4.8219178082191784E-3</v>
      </c>
      <c r="H7" s="4">
        <v>101.86317061641125</v>
      </c>
      <c r="I7" s="4">
        <v>3.9269367481054709</v>
      </c>
      <c r="J7" s="4">
        <v>80002.045594424562</v>
      </c>
    </row>
    <row r="8" spans="1:12" x14ac:dyDescent="0.2">
      <c r="A8" s="9" t="s">
        <v>30</v>
      </c>
      <c r="B8" s="9" t="s">
        <v>56</v>
      </c>
      <c r="C8" s="4" t="s">
        <v>35</v>
      </c>
      <c r="D8" s="9" t="s">
        <v>57</v>
      </c>
      <c r="E8" s="5" t="s">
        <v>58</v>
      </c>
      <c r="F8" s="4">
        <v>105.21062637175771</v>
      </c>
      <c r="G8" s="13">
        <v>1.0958904109589041E-2</v>
      </c>
      <c r="H8" s="4">
        <v>105.2215852758673</v>
      </c>
      <c r="I8" s="4">
        <v>8.2269890527711649</v>
      </c>
      <c r="J8" s="4">
        <v>432828.41508989391</v>
      </c>
    </row>
    <row r="9" spans="1:12" x14ac:dyDescent="0.2">
      <c r="A9" s="9" t="s">
        <v>30</v>
      </c>
      <c r="B9" s="10" t="s">
        <v>25</v>
      </c>
      <c r="C9" s="4" t="s">
        <v>26</v>
      </c>
      <c r="D9" s="9" t="s">
        <v>28</v>
      </c>
      <c r="E9" s="5" t="s">
        <v>55</v>
      </c>
      <c r="F9" s="4">
        <v>107.11092827892158</v>
      </c>
      <c r="G9" s="13">
        <v>1.715068493150685E-2</v>
      </c>
      <c r="H9" s="4">
        <v>107.12807896385308</v>
      </c>
      <c r="I9" s="4">
        <v>19.285429382750241</v>
      </c>
      <c r="J9" s="4">
        <v>413202.20035341609</v>
      </c>
    </row>
    <row r="10" spans="1:12" x14ac:dyDescent="0.2">
      <c r="A10" s="9" t="s">
        <v>32</v>
      </c>
      <c r="B10" s="10" t="s">
        <v>48</v>
      </c>
      <c r="C10" s="4" t="s">
        <v>49</v>
      </c>
      <c r="D10" s="9" t="s">
        <v>50</v>
      </c>
      <c r="E10" s="5" t="s">
        <v>59</v>
      </c>
      <c r="F10" s="4">
        <v>100.10894257069937</v>
      </c>
      <c r="G10" s="13">
        <v>2.054794520547945E-3</v>
      </c>
      <c r="H10" s="4">
        <v>100.11099736521992</v>
      </c>
      <c r="I10" s="4">
        <v>0.99039426993989244</v>
      </c>
      <c r="J10" s="4">
        <v>24787.339537120366</v>
      </c>
    </row>
    <row r="11" spans="1:12" x14ac:dyDescent="0.2">
      <c r="A11" s="9" t="s">
        <v>32</v>
      </c>
      <c r="B11" s="15" t="s">
        <v>52</v>
      </c>
      <c r="C11" s="15" t="s">
        <v>53</v>
      </c>
      <c r="D11" s="15" t="s">
        <v>54</v>
      </c>
      <c r="E11" s="15" t="s">
        <v>55</v>
      </c>
      <c r="F11" s="21">
        <v>101.77717182603382</v>
      </c>
      <c r="G11" s="13">
        <v>7.2328767123287672E-3</v>
      </c>
      <c r="H11" s="4">
        <v>101.78440470274614</v>
      </c>
      <c r="I11" s="4">
        <v>3.9234034018654285</v>
      </c>
      <c r="J11" s="4">
        <v>79868.25593352034</v>
      </c>
    </row>
    <row r="12" spans="1:12" x14ac:dyDescent="0.2">
      <c r="A12" s="9" t="s">
        <v>32</v>
      </c>
      <c r="B12" s="15" t="s">
        <v>56</v>
      </c>
      <c r="C12" s="15" t="s">
        <v>35</v>
      </c>
      <c r="D12" s="15" t="s">
        <v>57</v>
      </c>
      <c r="E12" s="15" t="s">
        <v>29</v>
      </c>
      <c r="F12" s="21">
        <v>105.03618312474153</v>
      </c>
      <c r="G12" s="13">
        <v>1.643835616438356E-2</v>
      </c>
      <c r="H12" s="4">
        <v>105.05262148090591</v>
      </c>
      <c r="I12" s="4">
        <v>8.2220196776675252</v>
      </c>
      <c r="J12" s="4">
        <v>518246.83260393993</v>
      </c>
    </row>
    <row r="13" spans="1:12" x14ac:dyDescent="0.2">
      <c r="A13" s="9" t="s">
        <v>32</v>
      </c>
      <c r="B13" s="10" t="s">
        <v>25</v>
      </c>
      <c r="C13" s="4" t="s">
        <v>26</v>
      </c>
      <c r="D13" s="9" t="s">
        <v>28</v>
      </c>
      <c r="E13" s="5" t="s">
        <v>60</v>
      </c>
      <c r="F13" s="4">
        <v>106.90404477914056</v>
      </c>
      <c r="G13" s="13">
        <v>2.5726027397260275E-2</v>
      </c>
      <c r="H13" s="4">
        <v>106.92977080653782</v>
      </c>
      <c r="I13" s="4">
        <v>19.271341507671515</v>
      </c>
      <c r="J13" s="4">
        <v>618204.03916495014</v>
      </c>
    </row>
    <row r="14" spans="1:12" x14ac:dyDescent="0.2">
      <c r="A14" s="9" t="s">
        <v>36</v>
      </c>
      <c r="B14" s="10" t="s">
        <v>48</v>
      </c>
      <c r="C14" s="4" t="s">
        <v>49</v>
      </c>
      <c r="D14" s="9" t="s">
        <v>50</v>
      </c>
      <c r="E14" s="5" t="s">
        <v>55</v>
      </c>
      <c r="F14" s="4">
        <v>100.11852992522581</v>
      </c>
      <c r="G14" s="13">
        <v>2.7397260273972603E-3</v>
      </c>
      <c r="H14" s="4">
        <v>100.12126965125321</v>
      </c>
      <c r="I14" s="4">
        <v>0.98775701177510322</v>
      </c>
      <c r="J14" s="4">
        <v>19779.097225170244</v>
      </c>
    </row>
    <row r="15" spans="1:12" x14ac:dyDescent="0.2">
      <c r="A15" s="9" t="s">
        <v>36</v>
      </c>
      <c r="B15" s="10" t="s">
        <v>52</v>
      </c>
      <c r="C15" s="4" t="s">
        <v>53</v>
      </c>
      <c r="D15" s="9" t="s">
        <v>54</v>
      </c>
      <c r="E15" s="5" t="s">
        <v>55</v>
      </c>
      <c r="F15" s="7">
        <v>101.89576677457939</v>
      </c>
      <c r="G15" s="22">
        <v>9.6438356164383569E-3</v>
      </c>
      <c r="H15" s="7">
        <v>101.90541061019583</v>
      </c>
      <c r="I15" s="7">
        <v>3.9218819195841874</v>
      </c>
      <c r="J15" s="7">
        <v>79932.197475985915</v>
      </c>
    </row>
    <row r="16" spans="1:12" x14ac:dyDescent="0.2">
      <c r="A16" s="9" t="s">
        <v>36</v>
      </c>
      <c r="B16" s="13" t="s">
        <v>56</v>
      </c>
      <c r="C16" s="13" t="s">
        <v>35</v>
      </c>
      <c r="D16" s="16" t="s">
        <v>57</v>
      </c>
      <c r="E16" s="17" t="s">
        <v>29</v>
      </c>
      <c r="F16" s="4">
        <v>105.4674899208712</v>
      </c>
      <c r="G16" s="13">
        <v>2.1917808219178082E-2</v>
      </c>
      <c r="H16" s="4">
        <v>105.48940772909037</v>
      </c>
      <c r="I16" s="4">
        <v>8.2249844855432297</v>
      </c>
      <c r="J16" s="4">
        <v>520589.24517654744</v>
      </c>
    </row>
    <row r="17" spans="1:10" x14ac:dyDescent="0.2">
      <c r="A17" s="9" t="s">
        <v>36</v>
      </c>
      <c r="B17" s="10" t="s">
        <v>25</v>
      </c>
      <c r="C17" s="4" t="s">
        <v>26</v>
      </c>
      <c r="D17" s="9" t="s">
        <v>28</v>
      </c>
      <c r="E17" s="5" t="s">
        <v>58</v>
      </c>
      <c r="F17" s="4">
        <v>107.94029801690233</v>
      </c>
      <c r="G17" s="13">
        <v>3.43013698630137E-2</v>
      </c>
      <c r="H17" s="4">
        <v>107.97459938676535</v>
      </c>
      <c r="I17" s="4">
        <v>19.32576530768338</v>
      </c>
      <c r="J17" s="4">
        <v>1043345.8834698804</v>
      </c>
    </row>
    <row r="18" spans="1:10" x14ac:dyDescent="0.2">
      <c r="A18" s="9" t="s">
        <v>27</v>
      </c>
      <c r="B18" s="18" t="s">
        <v>48</v>
      </c>
      <c r="C18" s="18" t="s">
        <v>49</v>
      </c>
      <c r="D18" s="11" t="s">
        <v>50</v>
      </c>
      <c r="E18" s="20" t="s">
        <v>61</v>
      </c>
      <c r="F18" s="4">
        <v>100.10834014832039</v>
      </c>
      <c r="G18" s="13">
        <v>3.4246575342465752E-3</v>
      </c>
      <c r="H18" s="4">
        <v>100.11176480585465</v>
      </c>
      <c r="I18" s="4">
        <v>0.98492247839326319</v>
      </c>
      <c r="J18" s="4">
        <v>9860.2327508905819</v>
      </c>
    </row>
    <row r="19" spans="1:10" x14ac:dyDescent="0.2">
      <c r="A19" s="9" t="s">
        <v>27</v>
      </c>
      <c r="B19" s="13" t="s">
        <v>52</v>
      </c>
      <c r="C19" s="13" t="s">
        <v>53</v>
      </c>
      <c r="D19" s="16" t="s">
        <v>54</v>
      </c>
      <c r="E19" s="17" t="s">
        <v>55</v>
      </c>
      <c r="F19" s="4">
        <v>101.81463239397668</v>
      </c>
      <c r="G19" s="13">
        <v>1.2054794520547946E-2</v>
      </c>
      <c r="H19" s="4">
        <v>101.82668718849723</v>
      </c>
      <c r="I19" s="4">
        <v>3.9183492316521149</v>
      </c>
      <c r="J19" s="4">
        <v>79798.504301345689</v>
      </c>
    </row>
    <row r="20" spans="1:10" x14ac:dyDescent="0.2">
      <c r="A20" s="9" t="s">
        <v>27</v>
      </c>
      <c r="B20" s="10" t="s">
        <v>56</v>
      </c>
      <c r="C20" s="18" t="s">
        <v>35</v>
      </c>
      <c r="D20" s="6" t="s">
        <v>57</v>
      </c>
      <c r="E20" s="5" t="s">
        <v>62</v>
      </c>
      <c r="F20" s="4">
        <v>105.2925734440648</v>
      </c>
      <c r="G20" s="13">
        <v>2.7397260273972601E-2</v>
      </c>
      <c r="H20" s="4">
        <v>105.31997070433877</v>
      </c>
      <c r="I20" s="4">
        <v>8.2200148302075089</v>
      </c>
      <c r="J20" s="4">
        <v>562725.61871934531</v>
      </c>
    </row>
    <row r="21" spans="1:10" x14ac:dyDescent="0.2">
      <c r="A21" s="9" t="s">
        <v>27</v>
      </c>
      <c r="B21" s="10" t="s">
        <v>25</v>
      </c>
      <c r="C21" s="4" t="s">
        <v>26</v>
      </c>
      <c r="D21" s="6" t="s">
        <v>28</v>
      </c>
      <c r="E21" s="5" t="s">
        <v>29</v>
      </c>
      <c r="F21" s="4">
        <v>107.31608557976634</v>
      </c>
      <c r="G21" s="13">
        <v>4.2876712328767122E-2</v>
      </c>
      <c r="H21" s="4">
        <v>107.3589622920951</v>
      </c>
      <c r="I21" s="4">
        <v>19.288851302948324</v>
      </c>
      <c r="J21" s="4">
        <v>1242498.6358146353</v>
      </c>
    </row>
    <row r="22" spans="1:10" x14ac:dyDescent="0.2">
      <c r="A22" s="11" t="s">
        <v>46</v>
      </c>
      <c r="B22" s="10" t="s">
        <v>48</v>
      </c>
      <c r="C22" s="4" t="s">
        <v>49</v>
      </c>
      <c r="D22" s="6" t="s">
        <v>50</v>
      </c>
      <c r="E22" s="5" t="s">
        <v>63</v>
      </c>
      <c r="F22" s="4">
        <v>100.1074365257828</v>
      </c>
      <c r="G22" s="13">
        <v>5.4794520547945206E-3</v>
      </c>
      <c r="H22" s="23">
        <v>100.1129159778376</v>
      </c>
      <c r="I22" s="4">
        <v>0.97671479107331927</v>
      </c>
      <c r="J22" s="4">
        <v>0</v>
      </c>
    </row>
    <row r="23" spans="1:10" x14ac:dyDescent="0.2">
      <c r="A23" s="11" t="s">
        <v>46</v>
      </c>
      <c r="B23" s="4" t="s">
        <v>52</v>
      </c>
      <c r="C23" s="4" t="s">
        <v>53</v>
      </c>
      <c r="D23" s="6" t="s">
        <v>54</v>
      </c>
      <c r="E23" s="5" t="s">
        <v>55</v>
      </c>
      <c r="F23" s="4">
        <v>101.73131205887807</v>
      </c>
      <c r="G23" s="13">
        <v>1.9287671232876714E-2</v>
      </c>
      <c r="H23" s="23">
        <v>101.75059973011095</v>
      </c>
      <c r="I23" s="4">
        <v>3.9093624956680824</v>
      </c>
      <c r="J23" s="4">
        <v>79555.995699326115</v>
      </c>
    </row>
    <row r="24" spans="1:10" x14ac:dyDescent="0.2">
      <c r="A24" s="6" t="s">
        <v>46</v>
      </c>
      <c r="B24" s="4" t="s">
        <v>56</v>
      </c>
      <c r="C24" s="4" t="s">
        <v>35</v>
      </c>
      <c r="D24" s="6" t="s">
        <v>57</v>
      </c>
      <c r="E24" s="5" t="s">
        <v>64</v>
      </c>
      <c r="F24" s="4">
        <v>104.94258747646018</v>
      </c>
      <c r="G24" s="13">
        <v>4.3835616438356165E-2</v>
      </c>
      <c r="H24" s="23">
        <v>104.98642309289853</v>
      </c>
      <c r="I24" s="4">
        <v>8.2073781778966151</v>
      </c>
      <c r="J24" s="4">
        <v>689330.62229446135</v>
      </c>
    </row>
    <row r="25" spans="1:10" x14ac:dyDescent="0.2">
      <c r="A25" s="11" t="s">
        <v>46</v>
      </c>
      <c r="B25" s="4" t="s">
        <v>25</v>
      </c>
      <c r="C25" s="4" t="s">
        <v>26</v>
      </c>
      <c r="D25" s="6" t="s">
        <v>28</v>
      </c>
      <c r="E25" s="5" t="s">
        <v>65</v>
      </c>
      <c r="F25" s="4">
        <v>106.08146538590546</v>
      </c>
      <c r="G25" s="13">
        <v>6.8602739726027401E-2</v>
      </c>
      <c r="H25" s="23">
        <v>106.15006812563149</v>
      </c>
      <c r="I25" s="4">
        <v>19.212311763951401</v>
      </c>
      <c r="J25" s="4">
        <v>2039388.2025943126</v>
      </c>
    </row>
  </sheetData>
  <autoFilter ref="A1:J25"/>
  <phoneticPr fontId="1" type="noConversion"/>
  <pageMargins left="0.75" right="0.75" top="1" bottom="1" header="0.5" footer="0.5"/>
  <pageSetup paperSize="9" orientation="portrait" r:id="rId1"/>
  <headerFooter alignWithMargins="0"/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Bond.Position!J1</xm:f>
              <xm:sqref>G20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F10"/>
  <sheetViews>
    <sheetView tabSelected="1" workbookViewId="0">
      <selection activeCell="R18" sqref="R18"/>
    </sheetView>
  </sheetViews>
  <sheetFormatPr defaultRowHeight="13.5" x14ac:dyDescent="0.15"/>
  <sheetData>
    <row r="1" spans="2:6" x14ac:dyDescent="0.15">
      <c r="C1" t="s">
        <v>68</v>
      </c>
      <c r="D1" t="s">
        <v>69</v>
      </c>
      <c r="E1" t="s">
        <v>70</v>
      </c>
      <c r="F1" t="s">
        <v>71</v>
      </c>
    </row>
    <row r="2" spans="2:6" x14ac:dyDescent="0.15">
      <c r="B2">
        <v>1</v>
      </c>
      <c r="C2">
        <v>29914.880248715584</v>
      </c>
      <c r="D2">
        <v>39988.72125821597</v>
      </c>
      <c r="E2">
        <v>430466.50289908639</v>
      </c>
      <c r="F2">
        <v>205058.12340998213</v>
      </c>
    </row>
    <row r="3" spans="2:6" x14ac:dyDescent="0.15">
      <c r="B3">
        <v>2</v>
      </c>
      <c r="C3">
        <v>348.11870419273947</v>
      </c>
      <c r="D3">
        <v>80002.045594424562</v>
      </c>
      <c r="E3">
        <v>432828.41508989391</v>
      </c>
      <c r="F3">
        <v>413202.20035341609</v>
      </c>
    </row>
    <row r="4" spans="2:6" x14ac:dyDescent="0.15">
      <c r="B4">
        <v>3</v>
      </c>
      <c r="C4">
        <v>24787.339537120366</v>
      </c>
      <c r="D4">
        <v>79868.25593352034</v>
      </c>
      <c r="E4">
        <v>518246.83260393993</v>
      </c>
      <c r="F4">
        <v>618204.03916495014</v>
      </c>
    </row>
    <row r="5" spans="2:6" x14ac:dyDescent="0.15">
      <c r="B5">
        <v>4</v>
      </c>
      <c r="C5">
        <v>19779.097225170244</v>
      </c>
      <c r="D5">
        <v>79932.197475985915</v>
      </c>
      <c r="E5">
        <v>520589.24517654744</v>
      </c>
      <c r="F5">
        <v>1043345.8834698804</v>
      </c>
    </row>
    <row r="6" spans="2:6" x14ac:dyDescent="0.15">
      <c r="B6">
        <v>5</v>
      </c>
      <c r="C6">
        <v>9860.2327508905819</v>
      </c>
      <c r="D6">
        <v>79798.504301345689</v>
      </c>
      <c r="E6">
        <v>562725.61871934531</v>
      </c>
      <c r="F6">
        <v>1242498.6358146353</v>
      </c>
    </row>
    <row r="7" spans="2:6" x14ac:dyDescent="0.15">
      <c r="B7">
        <v>8</v>
      </c>
      <c r="C7">
        <v>0</v>
      </c>
      <c r="D7">
        <v>79555.995699326115</v>
      </c>
      <c r="E7">
        <v>689330.62229446135</v>
      </c>
      <c r="F7">
        <v>2039388.2025943126</v>
      </c>
    </row>
    <row r="10" spans="2:6" x14ac:dyDescent="0.15">
      <c r="B10" t="s">
        <v>67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Yield.Curve</vt:lpstr>
      <vt:lpstr>Bond.Position</vt:lpstr>
      <vt:lpstr>Position.BPV.Curve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2017-04-10T14:51:16Z</dcterms:created>
  <dcterms:modified xsi:type="dcterms:W3CDTF">2017-04-16T09:33:59Z</dcterms:modified>
</cp:coreProperties>
</file>